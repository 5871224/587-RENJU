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我的雲端硬碟\587renju\program\0\"/>
    </mc:Choice>
  </mc:AlternateContent>
  <xr:revisionPtr revIDLastSave="0" documentId="13_ncr:1_{D2FC6377-CEFD-4994-8E22-8AD2B37BE84C}" xr6:coauthVersionLast="47" xr6:coauthVersionMax="47" xr10:uidLastSave="{00000000-0000-0000-0000-000000000000}"/>
  <bookViews>
    <workbookView xWindow="-120" yWindow="-120" windowWidth="21840" windowHeight="13140" tabRatio="567" activeTab="1" xr2:uid="{00000000-000D-0000-FFFF-FFFF00000000}"/>
  </bookViews>
  <sheets>
    <sheet name="說明" sheetId="2" r:id="rId1"/>
    <sheet name="比賽" sheetId="258" r:id="rId2"/>
  </sheets>
  <functionGroups builtInGroupCount="19"/>
  <definedNames>
    <definedName name="_xlnm._FilterDatabase" localSheetId="1" hidden="1">比賽!$A$3:$L$3</definedName>
  </definedNames>
  <calcPr calcId="191029"/>
</workbook>
</file>

<file path=xl/calcChain.xml><?xml version="1.0" encoding="utf-8"?>
<calcChain xmlns="http://schemas.openxmlformats.org/spreadsheetml/2006/main">
  <c r="O4" i="258" l="1"/>
  <c r="O5" i="258"/>
  <c r="O6" i="258"/>
  <c r="O7" i="258"/>
  <c r="O8" i="258"/>
  <c r="O9" i="258"/>
  <c r="O10" i="258"/>
  <c r="O11" i="258"/>
</calcChain>
</file>

<file path=xl/sharedStrings.xml><?xml version="1.0" encoding="utf-8"?>
<sst xmlns="http://schemas.openxmlformats.org/spreadsheetml/2006/main" count="98" uniqueCount="91">
  <si>
    <t>輪數</t>
  </si>
  <si>
    <t>勝分</t>
    <phoneticPr fontId="2" type="noConversion"/>
  </si>
  <si>
    <t>操作說明：</t>
    <phoneticPr fontId="2" type="noConversion"/>
  </si>
  <si>
    <t>　瑞士制時，依人數和輪數設定戰積表</t>
    <phoneticPr fontId="2" type="noConversion"/>
  </si>
  <si>
    <r>
      <rPr>
        <sz val="14"/>
        <color rgb="FF00B050"/>
        <rFont val="微軟正黑體"/>
        <family val="2"/>
        <charset val="136"/>
      </rPr>
      <t>排序</t>
    </r>
    <r>
      <rPr>
        <sz val="14"/>
        <color theme="1"/>
        <rFont val="微軟正黑體"/>
        <family val="2"/>
        <charset val="136"/>
      </rPr>
      <t>按鈕（可依籤號或名次排序）</t>
    </r>
    <phoneticPr fontId="2" type="noConversion"/>
  </si>
  <si>
    <t>輔分一：所遇對手之總分和</t>
    <phoneticPr fontId="2" type="noConversion"/>
  </si>
  <si>
    <t>人數</t>
    <phoneticPr fontId="2" type="noConversion"/>
  </si>
  <si>
    <t>總分：每輪分數總和</t>
    <phoneticPr fontId="2" type="noConversion"/>
  </si>
  <si>
    <t>輔分二：（所勝對手之總分）＋（所和對手之總分的一半）</t>
    <phoneticPr fontId="2" type="noConversion"/>
  </si>
  <si>
    <t>輔分四：所遇對手之輔分一</t>
    <phoneticPr fontId="2" type="noConversion"/>
  </si>
  <si>
    <t>輔分五：所遇對手之輔分二</t>
    <phoneticPr fontId="2" type="noConversion"/>
  </si>
  <si>
    <t>輔分六：（所勝對手之輔分一）＋（所和對手之輔分一的一半）</t>
    <phoneticPr fontId="2" type="noConversion"/>
  </si>
  <si>
    <t>輔分七：（所勝對手之輔分二）＋（所和對手之輔分二的一半）</t>
    <phoneticPr fontId="2" type="noConversion"/>
  </si>
  <si>
    <r>
      <rPr>
        <sz val="14"/>
        <color rgb="FF3399FF"/>
        <rFont val="微軟正黑體"/>
        <family val="2"/>
        <charset val="136"/>
      </rPr>
      <t>勾選修改開局方</t>
    </r>
    <r>
      <rPr>
        <sz val="14"/>
        <color theme="1"/>
        <rFont val="微軟正黑體"/>
        <family val="2"/>
        <charset val="136"/>
      </rPr>
      <t>：雙擊該輪對手號碼，可修改該輪開局方，另一方自動修正</t>
    </r>
    <phoneticPr fontId="2" type="noConversion"/>
  </si>
  <si>
    <r>
      <rPr>
        <sz val="14"/>
        <color rgb="FF3399FF"/>
        <rFont val="微軟正黑體"/>
        <family val="2"/>
        <charset val="136"/>
      </rPr>
      <t>勾選同國不抓</t>
    </r>
    <r>
      <rPr>
        <sz val="14"/>
        <color theme="1"/>
        <rFont val="微軟正黑體"/>
        <family val="2"/>
        <charset val="136"/>
      </rPr>
      <t>：國家相同者不配對</t>
    </r>
    <phoneticPr fontId="2" type="noConversion"/>
  </si>
  <si>
    <t>輪高</t>
    <phoneticPr fontId="2" type="noConversion"/>
  </si>
  <si>
    <t>輪低</t>
    <phoneticPr fontId="2" type="noConversion"/>
  </si>
  <si>
    <t>輪空</t>
    <phoneticPr fontId="2" type="noConversion"/>
  </si>
  <si>
    <t>棄賽</t>
    <phoneticPr fontId="2" type="noConversion"/>
  </si>
  <si>
    <t>輔分六：所遇對手之輔分一</t>
    <phoneticPr fontId="2" type="noConversion"/>
  </si>
  <si>
    <t>輔分五：後手數</t>
    <phoneticPr fontId="2" type="noConversion"/>
  </si>
  <si>
    <t>輔分四：後手勝局數</t>
    <phoneticPr fontId="2" type="noConversion"/>
  </si>
  <si>
    <t>輔分三：勝局數</t>
    <phoneticPr fontId="2" type="noConversion"/>
  </si>
  <si>
    <t>五子棋輔分</t>
    <phoneticPr fontId="2" type="noConversion"/>
  </si>
  <si>
    <t>象棋輔分</t>
    <phoneticPr fontId="2" type="noConversion"/>
  </si>
  <si>
    <t>圍棋輔分</t>
    <phoneticPr fontId="2" type="noConversion"/>
  </si>
  <si>
    <t>輔分二：所負對手之總分和</t>
    <phoneticPr fontId="2" type="noConversion"/>
  </si>
  <si>
    <t>選手姓名、段位、國家若不輸入也不影響程式運作</t>
    <phoneticPr fontId="2" type="noConversion"/>
  </si>
  <si>
    <r>
      <t>點A1格：可選取五子、象棋、圍棋的輔分計算方式</t>
    </r>
    <r>
      <rPr>
        <sz val="14"/>
        <rFont val="微軟正黑體"/>
        <family val="2"/>
        <charset val="136"/>
      </rPr>
      <t>，開賽後也可隨意修改</t>
    </r>
    <phoneticPr fontId="2" type="noConversion"/>
  </si>
  <si>
    <t>對手編號以０表示</t>
    <phoneticPr fontId="2" type="noConversion"/>
  </si>
  <si>
    <r>
      <rPr>
        <sz val="14"/>
        <color rgb="FF3399FF"/>
        <rFont val="微軟正黑體"/>
        <family val="2"/>
        <charset val="136"/>
      </rPr>
      <t>手動修改對手</t>
    </r>
    <r>
      <rPr>
        <sz val="14"/>
        <color theme="1"/>
        <rFont val="微軟正黑體"/>
        <family val="2"/>
        <charset val="136"/>
      </rPr>
      <t>：直接輸入對手籤號，會自動抓對所影響的選手，自動算輪高輪低及開局方，但請自行檢查是否有重覆對戰</t>
    </r>
    <phoneticPr fontId="2" type="noConversion"/>
  </si>
  <si>
    <r>
      <rPr>
        <sz val="14"/>
        <color theme="9" tint="-0.249977111117893"/>
        <rFont val="微軟正黑體"/>
        <family val="2"/>
        <charset val="136"/>
      </rPr>
      <t>桌次表</t>
    </r>
    <r>
      <rPr>
        <sz val="14"/>
        <color theme="1"/>
        <rFont val="微軟正黑體"/>
        <family val="2"/>
        <charset val="136"/>
      </rPr>
      <t>按鈕（可重新產生</t>
    </r>
    <r>
      <rPr>
        <sz val="14"/>
        <color theme="9" tint="-0.249977111117893"/>
        <rFont val="微軟正黑體"/>
        <family val="2"/>
        <charset val="136"/>
      </rPr>
      <t>所選輪次</t>
    </r>
    <r>
      <rPr>
        <sz val="14"/>
        <color theme="1"/>
        <rFont val="微軟正黑體"/>
        <family val="2"/>
        <charset val="136"/>
      </rPr>
      <t>的桌次表）</t>
    </r>
    <phoneticPr fontId="2" type="noConversion"/>
  </si>
  <si>
    <r>
      <rPr>
        <sz val="14"/>
        <color theme="9" tint="-0.249977111117893"/>
        <rFont val="微軟正黑體"/>
        <family val="2"/>
        <charset val="136"/>
      </rPr>
      <t>抓對</t>
    </r>
    <r>
      <rPr>
        <sz val="14"/>
        <color theme="1"/>
        <rFont val="微軟正黑體"/>
        <family val="2"/>
        <charset val="136"/>
      </rPr>
      <t>按鈕（瑞士制才有，配</t>
    </r>
    <r>
      <rPr>
        <sz val="14"/>
        <rFont val="微軟正黑體"/>
        <family val="2"/>
        <charset val="136"/>
      </rPr>
      <t>對</t>
    </r>
    <r>
      <rPr>
        <sz val="14"/>
        <color theme="9" tint="-0.249977111117893"/>
        <rFont val="微軟正黑體"/>
        <family val="2"/>
        <charset val="136"/>
      </rPr>
      <t>所選輪次</t>
    </r>
    <r>
      <rPr>
        <sz val="14"/>
        <rFont val="微軟正黑體"/>
        <family val="2"/>
        <charset val="136"/>
      </rPr>
      <t>對戰組</t>
    </r>
    <r>
      <rPr>
        <sz val="14"/>
        <color theme="1"/>
        <rFont val="微軟正黑體"/>
        <family val="2"/>
        <charset val="136"/>
      </rPr>
      <t>合，並產生該輪桌次頁）</t>
    </r>
    <phoneticPr fontId="2" type="noConversion"/>
  </si>
  <si>
    <t>　抓第一輪時會自動重設戰績表</t>
    <phoneticPr fontId="2" type="noConversion"/>
  </si>
  <si>
    <r>
      <rPr>
        <sz val="14"/>
        <color rgb="FF3399FF"/>
        <rFont val="微軟正黑體"/>
        <family val="2"/>
        <charset val="136"/>
      </rPr>
      <t>雙擊選手姓名</t>
    </r>
    <r>
      <rPr>
        <sz val="14"/>
        <color theme="1"/>
        <rFont val="微軟正黑體"/>
        <family val="2"/>
        <charset val="136"/>
      </rPr>
      <t>：可標注棄賽選手，選手姓名會加上</t>
    </r>
    <r>
      <rPr>
        <strike/>
        <sz val="14"/>
        <color theme="1"/>
        <rFont val="微軟正黑體"/>
        <family val="2"/>
        <charset val="136"/>
      </rPr>
      <t>刪除線</t>
    </r>
    <r>
      <rPr>
        <sz val="14"/>
        <color theme="1"/>
        <rFont val="微軟正黑體"/>
        <family val="2"/>
        <charset val="136"/>
      </rPr>
      <t>，在抓對時會排除，排名也會墊底</t>
    </r>
    <phoneticPr fontId="2" type="noConversion"/>
  </si>
  <si>
    <t>　若重抓之前輪次，該輪以及之後的紀錄會被刪除</t>
    <phoneticPr fontId="2" type="noConversion"/>
  </si>
  <si>
    <t>參賽人數、比賽輪數、獲勝得分直接在B2、D2、D1輸入數值</t>
    <phoneticPr fontId="2" type="noConversion"/>
  </si>
  <si>
    <r>
      <rPr>
        <sz val="14"/>
        <color rgb="FF3399FF"/>
        <rFont val="微軟正黑體"/>
        <family val="2"/>
        <charset val="136"/>
      </rPr>
      <t>雙擊選手籤號</t>
    </r>
    <r>
      <rPr>
        <sz val="14"/>
        <color theme="1"/>
        <rFont val="微軟正黑體"/>
        <family val="2"/>
        <charset val="136"/>
      </rPr>
      <t>：可紀錄</t>
    </r>
    <r>
      <rPr>
        <sz val="14"/>
        <color theme="9" tint="-0.249977111117893"/>
        <rFont val="微軟正黑體"/>
        <family val="2"/>
        <charset val="136"/>
      </rPr>
      <t>所選輪次</t>
    </r>
    <r>
      <rPr>
        <sz val="14"/>
        <color theme="1"/>
        <rFont val="微軟正黑體"/>
        <family val="2"/>
        <charset val="136"/>
      </rPr>
      <t>的分數，重複雙擊可調整分數，或取消計分</t>
    </r>
    <phoneticPr fontId="2" type="noConversion"/>
  </si>
  <si>
    <r>
      <rPr>
        <sz val="14"/>
        <color rgb="FFDAA600"/>
        <rFont val="微軟正黑體"/>
        <family val="2"/>
        <charset val="136"/>
      </rPr>
      <t>抽籤</t>
    </r>
    <r>
      <rPr>
        <sz val="14"/>
        <color theme="1"/>
        <rFont val="微軟正黑體"/>
        <family val="2"/>
        <charset val="136"/>
      </rPr>
      <t>按鈕（可打亂選手順序並重設戰積表）</t>
    </r>
    <phoneticPr fontId="2" type="noConversion"/>
  </si>
  <si>
    <r>
      <rPr>
        <sz val="14"/>
        <color rgb="FFE6AF00"/>
        <rFont val="微軟正黑體"/>
        <family val="2"/>
        <charset val="136"/>
      </rPr>
      <t>重設</t>
    </r>
    <r>
      <rPr>
        <sz val="14"/>
        <color theme="1"/>
        <rFont val="微軟正黑體"/>
        <family val="2"/>
        <charset val="136"/>
      </rPr>
      <t>按鈕（可清空並重設戰積表）</t>
    </r>
    <phoneticPr fontId="2" type="noConversion"/>
  </si>
  <si>
    <t>設定比賽：賽制、參賽人數、比賽輪數、獲勝得分</t>
    <phoneticPr fontId="2" type="noConversion"/>
  </si>
  <si>
    <t>瑞士制抓對、桌次表：</t>
    <phoneticPr fontId="2" type="noConversion"/>
  </si>
  <si>
    <t>計入成績：</t>
    <phoneticPr fontId="2" type="noConversion"/>
  </si>
  <si>
    <t>選手棄賽：</t>
    <phoneticPr fontId="2" type="noConversion"/>
  </si>
  <si>
    <t>其他：</t>
    <phoneticPr fontId="2" type="noConversion"/>
  </si>
  <si>
    <t>特殊顏色說明：</t>
    <phoneticPr fontId="2" type="noConversion"/>
  </si>
  <si>
    <t>分數說明：</t>
    <phoneticPr fontId="2" type="noConversion"/>
  </si>
  <si>
    <r>
      <t>　對手號碼</t>
    </r>
    <r>
      <rPr>
        <sz val="14"/>
        <color rgb="FFFF0000"/>
        <rFont val="微軟正黑體"/>
        <family val="2"/>
        <charset val="136"/>
      </rPr>
      <t>紅色</t>
    </r>
    <r>
      <rPr>
        <sz val="14"/>
        <color theme="1"/>
        <rFont val="微軟正黑體"/>
        <family val="2"/>
        <charset val="136"/>
      </rPr>
      <t>為開局方：開局數較少者優先開局，若相同則單數輪籤號小者開局，雙數輪籤號大者開局</t>
    </r>
    <phoneticPr fontId="2" type="noConversion"/>
  </si>
  <si>
    <r>
      <rPr>
        <sz val="14"/>
        <color rgb="FF3399FF"/>
        <rFont val="微軟正黑體"/>
        <family val="2"/>
        <charset val="136"/>
      </rPr>
      <t>雙擊計分欄</t>
    </r>
    <r>
      <rPr>
        <sz val="14"/>
        <rFont val="微軟正黑體"/>
        <family val="2"/>
        <charset val="136"/>
      </rPr>
      <t>：需先</t>
    </r>
    <r>
      <rPr>
        <sz val="14"/>
        <color theme="9" tint="-0.249977111117893"/>
        <rFont val="微軟正黑體"/>
        <family val="2"/>
        <charset val="136"/>
      </rPr>
      <t>選擇輪次</t>
    </r>
    <r>
      <rPr>
        <sz val="14"/>
        <rFont val="微軟正黑體"/>
        <family val="2"/>
        <charset val="136"/>
      </rPr>
      <t>，可紀錄該格的分數，重複雙擊可調整分數，或取消計分（可手動輸入，但對手不會自動記分）</t>
    </r>
    <phoneticPr fontId="2" type="noConversion"/>
  </si>
  <si>
    <t>　單循環時，依人數計算所需輪數，賽程按Berger法則編排</t>
    <phoneticPr fontId="2" type="noConversion"/>
  </si>
  <si>
    <r>
      <rPr>
        <sz val="14"/>
        <color rgb="FF3399FF"/>
        <rFont val="微軟正黑體"/>
        <family val="2"/>
        <charset val="136"/>
      </rPr>
      <t>雙擊（滑鼠左鍵連點兩次）輪次標題（R1對手、R2對手..）</t>
    </r>
    <r>
      <rPr>
        <sz val="14"/>
        <rFont val="微軟正黑體"/>
        <family val="2"/>
        <charset val="136"/>
      </rPr>
      <t>可</t>
    </r>
    <r>
      <rPr>
        <sz val="14"/>
        <color theme="9" tint="-0.249977111117893"/>
        <rFont val="微軟正黑體"/>
        <family val="2"/>
        <charset val="136"/>
      </rPr>
      <t>選擇輪次</t>
    </r>
    <phoneticPr fontId="2" type="noConversion"/>
  </si>
  <si>
    <t>排序：</t>
    <phoneticPr fontId="2" type="noConversion"/>
  </si>
  <si>
    <t>最後一輪成績登記完畢，記得按一次名次排序</t>
    <phoneticPr fontId="2" type="noConversion"/>
  </si>
  <si>
    <t>瑞士制</t>
  </si>
  <si>
    <t>其他：</t>
    <phoneticPr fontId="2" type="noConversion"/>
  </si>
  <si>
    <t>需要複製戰績表，可選取要複製的範圍，按滑鼠右鍵，即完成複製</t>
    <phoneticPr fontId="2" type="noConversion"/>
  </si>
  <si>
    <t>　每桌名字在上方的為開局方</t>
    <phoneticPr fontId="2" type="noConversion"/>
  </si>
  <si>
    <t>　雙循環時，依人數計算所需輪數，賽程為兩輪單循環，但第二輪開局方交換</t>
    <phoneticPr fontId="2" type="noConversion"/>
  </si>
  <si>
    <t>勝分通常設為２，表示勝得２分、和１分、負０分，各情況分數請以整數表示，若想要記０.５分請手動輸入</t>
    <phoneticPr fontId="2" type="noConversion"/>
  </si>
  <si>
    <t>若要設定多組比賽，可複製比賽頁面（對比賽頁按滑鼠右鍵，選移動或複製，勾選建立複本）或（按住Ctrl拖拽比賽頁）或（複製檔案另開視窗）</t>
    <phoneticPr fontId="2" type="noConversion"/>
  </si>
  <si>
    <t>　抓對順序按排序，總分高至低、輪低至輪高、輔一高至低、籤號小至大</t>
    <phoneticPr fontId="2" type="noConversion"/>
  </si>
  <si>
    <t>　瑞士制輪空該輪直接判勝</t>
    <phoneticPr fontId="2" type="noConversion"/>
  </si>
  <si>
    <r>
      <rPr>
        <sz val="14"/>
        <color rgb="FF3399FF"/>
        <rFont val="微軟正黑體"/>
        <family val="2"/>
        <charset val="136"/>
      </rPr>
      <t>點B1格：可選取瑞士制或單循環</t>
    </r>
    <r>
      <rPr>
        <sz val="14"/>
        <rFont val="微軟正黑體"/>
        <family val="2"/>
        <charset val="136"/>
      </rPr>
      <t/>
    </r>
    <phoneticPr fontId="2" type="noConversion"/>
  </si>
  <si>
    <t>五子</t>
  </si>
  <si>
    <t>張益豐</t>
  </si>
  <si>
    <t>莊友良</t>
  </si>
  <si>
    <t>游天龍</t>
  </si>
  <si>
    <t>陳威至</t>
  </si>
  <si>
    <t>對手編號為空</t>
    <phoneticPr fontId="2" type="noConversion"/>
  </si>
  <si>
    <t>輔分三：彼此對戰成績（無法判斷則不計，詳見說明頁）</t>
    <phoneticPr fontId="2" type="noConversion"/>
  </si>
  <si>
    <t>輔分二：彼此對戰成績（無法判斷則不計，詳見說明頁）</t>
    <phoneticPr fontId="2" type="noConversion"/>
  </si>
  <si>
    <t>林皇羽</t>
    <phoneticPr fontId="2" type="noConversion"/>
  </si>
  <si>
    <t>林書玄</t>
    <phoneticPr fontId="2" type="noConversion"/>
  </si>
  <si>
    <t>周黃有建</t>
    <phoneticPr fontId="2" type="noConversion"/>
  </si>
  <si>
    <t>柯芳穎</t>
    <phoneticPr fontId="2" type="noConversion"/>
  </si>
  <si>
    <t>所遇對手分數比自已高</t>
    <phoneticPr fontId="2" type="noConversion"/>
  </si>
  <si>
    <t>所遇對手分數比自已低</t>
    <phoneticPr fontId="2" type="noConversion"/>
  </si>
  <si>
    <r>
      <rPr>
        <b/>
        <sz val="14"/>
        <color theme="1"/>
        <rFont val="微軟正黑體"/>
        <family val="2"/>
        <charset val="136"/>
      </rPr>
      <t>彼此對戰成績不計輔分情況</t>
    </r>
    <r>
      <rPr>
        <sz val="14"/>
        <color theme="1"/>
        <rFont val="微軟正黑體"/>
        <family val="2"/>
        <charset val="136"/>
      </rPr>
      <t>：１.同分者有人未與其他人對戰過。２.若ＡＢＣＤ同分要比較對戰成績，只有ＡＢ對過及ＣＤ對過，無法判斷這兩組先後。</t>
    </r>
    <phoneticPr fontId="2" type="noConversion"/>
  </si>
  <si>
    <t>https://www.notion.so/VBA-69446908577b4b6a972a7cf8bc020372</t>
  </si>
  <si>
    <r>
      <t>本檔案為VBA寫成，請先</t>
    </r>
    <r>
      <rPr>
        <sz val="14"/>
        <color rgb="FFFF0000"/>
        <rFont val="微軟正黑體"/>
        <family val="2"/>
        <charset val="136"/>
      </rPr>
      <t>啟用巨集</t>
    </r>
    <r>
      <rPr>
        <sz val="14"/>
        <color theme="1"/>
        <rFont val="微軟正黑體"/>
        <family val="2"/>
        <charset val="136"/>
      </rPr>
      <t>，將</t>
    </r>
    <r>
      <rPr>
        <sz val="14"/>
        <color rgb="FFFF0000"/>
        <rFont val="微軟正黑體"/>
        <family val="2"/>
        <charset val="136"/>
      </rPr>
      <t>巨集安全性調低</t>
    </r>
    <r>
      <rPr>
        <sz val="14"/>
        <color theme="1"/>
        <rFont val="微軟正黑體"/>
        <family val="2"/>
        <charset val="136"/>
      </rPr>
      <t>，或需</t>
    </r>
    <r>
      <rPr>
        <sz val="14"/>
        <color rgb="FFFF0000"/>
        <rFont val="微軟正黑體"/>
        <family val="2"/>
        <charset val="136"/>
      </rPr>
      <t>解除封鎖，</t>
    </r>
    <r>
      <rPr>
        <sz val="14"/>
        <color theme="1"/>
        <rFont val="微軟正黑體"/>
        <family val="2"/>
        <charset val="136"/>
      </rPr>
      <t>並重啓EXCEL後，程式才能作用，設定方式如下網址</t>
    </r>
    <phoneticPr fontId="2" type="noConversion"/>
  </si>
  <si>
    <t>籤號</t>
    <phoneticPr fontId="2" type="noConversion"/>
  </si>
  <si>
    <t>姓名</t>
    <phoneticPr fontId="2" type="noConversion"/>
  </si>
  <si>
    <t>段位</t>
    <phoneticPr fontId="2" type="noConversion"/>
  </si>
  <si>
    <t>國家</t>
    <phoneticPr fontId="2" type="noConversion"/>
  </si>
  <si>
    <t>R1</t>
    <phoneticPr fontId="2" type="noConversion"/>
  </si>
  <si>
    <t>對手</t>
    <phoneticPr fontId="2" type="noConversion"/>
  </si>
  <si>
    <t>R2</t>
    <phoneticPr fontId="2" type="noConversion"/>
  </si>
  <si>
    <t>R3</t>
    <phoneticPr fontId="2" type="noConversion"/>
  </si>
  <si>
    <t>R4</t>
    <phoneticPr fontId="2" type="noConversion"/>
  </si>
  <si>
    <t>R5</t>
    <phoneticPr fontId="2" type="noConversion"/>
  </si>
  <si>
    <t>總分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</si>
</sst>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.00_);_(* \(#,##0.00\);_(* &quot;-&quot;??_);_(@_)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4"/>
      <color rgb="FF000000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color rgb="FF00B05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4"/>
      <name val="微軟正黑體"/>
      <family val="2"/>
      <charset val="136"/>
    </font>
    <font>
      <sz val="14"/>
      <color rgb="FF3399FF"/>
      <name val="微軟正黑體"/>
      <family val="2"/>
      <charset val="136"/>
    </font>
    <font>
      <sz val="14"/>
      <color theme="9" tint="-0.249977111117893"/>
      <name val="微軟正黑體"/>
      <family val="2"/>
      <charset val="136"/>
    </font>
    <font>
      <strike/>
      <sz val="14"/>
      <color theme="1"/>
      <name val="微軟正黑體"/>
      <family val="2"/>
      <charset val="136"/>
    </font>
    <font>
      <sz val="14"/>
      <color rgb="FFE6AF00"/>
      <name val="微軟正黑體"/>
      <family val="2"/>
      <charset val="136"/>
    </font>
    <font>
      <sz val="14"/>
      <color rgb="FFDAA600"/>
      <name val="微軟正黑體"/>
      <family val="2"/>
      <charset val="136"/>
    </font>
    <font>
      <b/>
      <sz val="14"/>
      <color rgb="FF7030A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A7A7FF"/>
        <bgColor indexed="64"/>
      </patternFill>
    </fill>
    <fill>
      <patternFill patternType="solid">
        <fgColor rgb="FF5B93D7"/>
        <bgColor indexed="64"/>
      </patternFill>
    </fill>
    <fill>
      <patternFill patternType="solid">
        <fgColor rgb="FFBABABA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176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8" fillId="0" borderId="0" xfId="0" applyFont="1">
      <alignment vertical="center"/>
    </xf>
    <xf numFmtId="0" fontId="5" fillId="5" borderId="0" xfId="0" applyFont="1" applyFill="1">
      <alignment vertical="center"/>
    </xf>
    <xf numFmtId="0" fontId="5" fillId="6" borderId="0" xfId="0" applyFont="1" applyFill="1">
      <alignment vertical="center"/>
    </xf>
    <xf numFmtId="0" fontId="5" fillId="4" borderId="0" xfId="0" applyFont="1" applyFill="1">
      <alignment vertical="center"/>
    </xf>
    <xf numFmtId="0" fontId="5" fillId="3" borderId="0" xfId="0" applyFont="1" applyFill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16" fillId="2" borderId="0" xfId="2" applyFont="1" applyFill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8" fillId="0" borderId="0" xfId="0" applyFont="1">
      <alignment vertical="center"/>
    </xf>
    <xf numFmtId="0" fontId="8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horizontal="center" vertical="center" wrapText="1"/>
    </xf>
    <xf numFmtId="0" fontId="19" fillId="0" borderId="0" xfId="0" applyFont="1" applyAlignment="1">
      <alignment horizontal="center" vertical="center"/>
    </xf>
  </cellXfs>
  <cellStyles count="5">
    <cellStyle name="一般" xfId="0" builtinId="0"/>
    <cellStyle name="一般 2" xfId="2" xr:uid="{00000000-0005-0000-0000-000001000000}"/>
    <cellStyle name="千分位 2" xfId="3" xr:uid="{00000000-0005-0000-0000-000002000000}"/>
    <cellStyle name="千分位 2 2" xfId="4" xr:uid="{00000000-0005-0000-0000-000003000000}"/>
    <cellStyle name="千分位 3" xfId="1" xr:uid="{00000000-0005-0000-0000-000004000000}"/>
  </cellStyles>
  <dxfs count="3">
    <dxf>
      <border>
        <bottom style="dashDot">
          <color theme="0" tint="-0.499984740745262"/>
        </bottom>
      </border>
    </dxf>
    <dxf>
      <border>
        <bottom style="dashDot">
          <color theme="0" tint="-0.499984740745262"/>
        </bottom>
      </border>
    </dxf>
    <dxf>
      <border>
        <bottom style="dashDot">
          <color theme="0" tint="-0.499984740745262"/>
        </bottom>
      </border>
    </dxf>
  </dxfs>
  <tableStyles count="0" defaultTableStyle="TableStyleMedium2" defaultPivotStyle="PivotStyleLight16"/>
  <colors>
    <mruColors>
      <color rgb="FF3399FF"/>
      <color rgb="FFE6AF00"/>
      <color rgb="FFDAA600"/>
      <color rgb="FFC49500"/>
      <color rgb="FF9D952B"/>
      <color rgb="FFE2E208"/>
      <color rgb="FF99CCFF"/>
      <color rgb="FFFFFF99"/>
      <color rgb="FFBABABA"/>
      <color rgb="FF5B93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</xdr:colOff>
          <xdr:row>0</xdr:row>
          <xdr:rowOff>95250</xdr:rowOff>
        </xdr:from>
        <xdr:to>
          <xdr:col>7</xdr:col>
          <xdr:colOff>238125</xdr:colOff>
          <xdr:row>1</xdr:row>
          <xdr:rowOff>133350</xdr:rowOff>
        </xdr:to>
        <xdr:sp macro="" textlink="">
          <xdr:nvSpPr>
            <xdr:cNvPr id="101377" name="CheckBox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1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0</xdr:row>
          <xdr:rowOff>95250</xdr:rowOff>
        </xdr:from>
        <xdr:to>
          <xdr:col>10</xdr:col>
          <xdr:colOff>95250</xdr:colOff>
          <xdr:row>1</xdr:row>
          <xdr:rowOff>133350</xdr:rowOff>
        </xdr:to>
        <xdr:sp macro="" textlink="">
          <xdr:nvSpPr>
            <xdr:cNvPr id="101378" name="CheckBox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1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rgb="FF00B0F0"/>
  </sheetPr>
  <dimension ref="A1:H78"/>
  <sheetViews>
    <sheetView workbookViewId="0">
      <selection activeCell="I8" sqref="I8:N11"/>
    </sheetView>
  </sheetViews>
  <sheetFormatPr defaultColWidth="9" defaultRowHeight="18.75" x14ac:dyDescent="0.25"/>
  <cols>
    <col min="1" max="1" width="9" style="2"/>
    <col min="2" max="16384" width="9" style="3"/>
  </cols>
  <sheetData>
    <row r="1" spans="1:8" x14ac:dyDescent="0.25">
      <c r="A1" s="2" t="s">
        <v>79</v>
      </c>
    </row>
    <row r="2" spans="1:8" x14ac:dyDescent="0.25">
      <c r="A2" s="2" t="s">
        <v>78</v>
      </c>
    </row>
    <row r="4" spans="1:8" x14ac:dyDescent="0.25">
      <c r="A4" s="2" t="s">
        <v>2</v>
      </c>
    </row>
    <row r="5" spans="1:8" x14ac:dyDescent="0.25">
      <c r="A5" s="9" t="s">
        <v>40</v>
      </c>
      <c r="H5" s="9"/>
    </row>
    <row r="6" spans="1:8" x14ac:dyDescent="0.25">
      <c r="A6" s="8" t="s">
        <v>28</v>
      </c>
    </row>
    <row r="7" spans="1:8" x14ac:dyDescent="0.25">
      <c r="A7" s="2" t="s">
        <v>62</v>
      </c>
    </row>
    <row r="8" spans="1:8" x14ac:dyDescent="0.25">
      <c r="A8" s="2" t="s">
        <v>39</v>
      </c>
    </row>
    <row r="9" spans="1:8" x14ac:dyDescent="0.25">
      <c r="A9" s="2" t="s">
        <v>38</v>
      </c>
    </row>
    <row r="10" spans="1:8" x14ac:dyDescent="0.25">
      <c r="A10" s="2" t="s">
        <v>3</v>
      </c>
    </row>
    <row r="11" spans="1:8" x14ac:dyDescent="0.25">
      <c r="A11" s="2" t="s">
        <v>49</v>
      </c>
    </row>
    <row r="12" spans="1:8" x14ac:dyDescent="0.25">
      <c r="A12" s="2" t="s">
        <v>57</v>
      </c>
    </row>
    <row r="13" spans="1:8" x14ac:dyDescent="0.25">
      <c r="A13" s="2" t="s">
        <v>36</v>
      </c>
    </row>
    <row r="14" spans="1:8" x14ac:dyDescent="0.25">
      <c r="A14" s="2" t="s">
        <v>58</v>
      </c>
    </row>
    <row r="15" spans="1:8" x14ac:dyDescent="0.25">
      <c r="A15" s="2" t="s">
        <v>27</v>
      </c>
    </row>
    <row r="16" spans="1:8" x14ac:dyDescent="0.25">
      <c r="A16" s="2" t="s">
        <v>59</v>
      </c>
    </row>
    <row r="18" spans="1:1" x14ac:dyDescent="0.25">
      <c r="A18" s="9" t="s">
        <v>41</v>
      </c>
    </row>
    <row r="19" spans="1:1" x14ac:dyDescent="0.25">
      <c r="A19" s="2" t="s">
        <v>50</v>
      </c>
    </row>
    <row r="20" spans="1:1" x14ac:dyDescent="0.25">
      <c r="A20" s="2" t="s">
        <v>32</v>
      </c>
    </row>
    <row r="21" spans="1:1" x14ac:dyDescent="0.25">
      <c r="A21" s="2" t="s">
        <v>60</v>
      </c>
    </row>
    <row r="22" spans="1:1" x14ac:dyDescent="0.25">
      <c r="A22" s="2" t="s">
        <v>47</v>
      </c>
    </row>
    <row r="23" spans="1:1" x14ac:dyDescent="0.25">
      <c r="A23" s="2" t="s">
        <v>61</v>
      </c>
    </row>
    <row r="24" spans="1:1" x14ac:dyDescent="0.25">
      <c r="A24" s="2" t="s">
        <v>33</v>
      </c>
    </row>
    <row r="25" spans="1:1" x14ac:dyDescent="0.25">
      <c r="A25" s="2" t="s">
        <v>35</v>
      </c>
    </row>
    <row r="26" spans="1:1" x14ac:dyDescent="0.25">
      <c r="A26" s="2" t="s">
        <v>31</v>
      </c>
    </row>
    <row r="27" spans="1:1" x14ac:dyDescent="0.25">
      <c r="A27" s="2" t="s">
        <v>56</v>
      </c>
    </row>
    <row r="29" spans="1:1" x14ac:dyDescent="0.25">
      <c r="A29" s="9" t="s">
        <v>42</v>
      </c>
    </row>
    <row r="30" spans="1:1" x14ac:dyDescent="0.25">
      <c r="A30" s="2" t="s">
        <v>48</v>
      </c>
    </row>
    <row r="31" spans="1:1" x14ac:dyDescent="0.25">
      <c r="A31" s="2" t="s">
        <v>37</v>
      </c>
    </row>
    <row r="33" spans="1:2" x14ac:dyDescent="0.25">
      <c r="A33" s="9" t="s">
        <v>51</v>
      </c>
    </row>
    <row r="34" spans="1:2" x14ac:dyDescent="0.25">
      <c r="A34" s="2" t="s">
        <v>4</v>
      </c>
    </row>
    <row r="35" spans="1:2" x14ac:dyDescent="0.25">
      <c r="A35" s="2" t="s">
        <v>52</v>
      </c>
    </row>
    <row r="37" spans="1:2" x14ac:dyDescent="0.25">
      <c r="A37" s="9" t="s">
        <v>43</v>
      </c>
    </row>
    <row r="38" spans="1:2" x14ac:dyDescent="0.25">
      <c r="A38" s="2" t="s">
        <v>34</v>
      </c>
    </row>
    <row r="40" spans="1:2" x14ac:dyDescent="0.25">
      <c r="A40" s="9" t="s">
        <v>44</v>
      </c>
    </row>
    <row r="41" spans="1:2" x14ac:dyDescent="0.25">
      <c r="A41" s="2" t="s">
        <v>13</v>
      </c>
    </row>
    <row r="42" spans="1:2" x14ac:dyDescent="0.25">
      <c r="A42" s="2" t="s">
        <v>14</v>
      </c>
    </row>
    <row r="43" spans="1:2" x14ac:dyDescent="0.25">
      <c r="A43" s="2" t="s">
        <v>30</v>
      </c>
    </row>
    <row r="44" spans="1:2" ht="15.75" x14ac:dyDescent="0.25">
      <c r="A44" s="3"/>
    </row>
    <row r="45" spans="1:2" x14ac:dyDescent="0.25">
      <c r="A45" s="9" t="s">
        <v>45</v>
      </c>
    </row>
    <row r="46" spans="1:2" x14ac:dyDescent="0.25">
      <c r="A46" s="6" t="s">
        <v>15</v>
      </c>
      <c r="B46" s="3" t="s">
        <v>75</v>
      </c>
    </row>
    <row r="47" spans="1:2" x14ac:dyDescent="0.25">
      <c r="A47" s="7" t="s">
        <v>16</v>
      </c>
      <c r="B47" s="3" t="s">
        <v>76</v>
      </c>
    </row>
    <row r="48" spans="1:2" x14ac:dyDescent="0.25">
      <c r="A48" s="4" t="s">
        <v>17</v>
      </c>
      <c r="B48" s="3" t="s">
        <v>29</v>
      </c>
    </row>
    <row r="49" spans="1:2" x14ac:dyDescent="0.25">
      <c r="A49" s="5" t="s">
        <v>18</v>
      </c>
      <c r="B49" s="3" t="s">
        <v>68</v>
      </c>
    </row>
    <row r="51" spans="1:2" x14ac:dyDescent="0.25">
      <c r="A51" s="9" t="s">
        <v>54</v>
      </c>
    </row>
    <row r="52" spans="1:2" x14ac:dyDescent="0.25">
      <c r="A52" s="2" t="s">
        <v>55</v>
      </c>
    </row>
    <row r="54" spans="1:2" x14ac:dyDescent="0.25">
      <c r="A54" s="9" t="s">
        <v>46</v>
      </c>
    </row>
    <row r="55" spans="1:2" x14ac:dyDescent="0.25">
      <c r="A55" s="2" t="s">
        <v>7</v>
      </c>
    </row>
    <row r="56" spans="1:2" x14ac:dyDescent="0.25">
      <c r="A56" s="14" t="s">
        <v>23</v>
      </c>
    </row>
    <row r="57" spans="1:2" x14ac:dyDescent="0.25">
      <c r="A57" s="1" t="s">
        <v>5</v>
      </c>
    </row>
    <row r="58" spans="1:2" x14ac:dyDescent="0.25">
      <c r="A58" s="1" t="s">
        <v>8</v>
      </c>
    </row>
    <row r="59" spans="1:2" x14ac:dyDescent="0.25">
      <c r="A59" s="1" t="s">
        <v>69</v>
      </c>
    </row>
    <row r="60" spans="1:2" x14ac:dyDescent="0.25">
      <c r="A60" s="1" t="s">
        <v>9</v>
      </c>
    </row>
    <row r="61" spans="1:2" x14ac:dyDescent="0.25">
      <c r="A61" s="1" t="s">
        <v>10</v>
      </c>
    </row>
    <row r="62" spans="1:2" x14ac:dyDescent="0.25">
      <c r="A62" s="1" t="s">
        <v>11</v>
      </c>
    </row>
    <row r="63" spans="1:2" x14ac:dyDescent="0.25">
      <c r="A63" s="1" t="s">
        <v>12</v>
      </c>
    </row>
    <row r="65" spans="1:1" x14ac:dyDescent="0.25">
      <c r="A65" s="14" t="s">
        <v>24</v>
      </c>
    </row>
    <row r="66" spans="1:1" x14ac:dyDescent="0.25">
      <c r="A66" s="1" t="s">
        <v>5</v>
      </c>
    </row>
    <row r="67" spans="1:1" x14ac:dyDescent="0.25">
      <c r="A67" s="1" t="s">
        <v>70</v>
      </c>
    </row>
    <row r="68" spans="1:1" x14ac:dyDescent="0.25">
      <c r="A68" s="1" t="s">
        <v>22</v>
      </c>
    </row>
    <row r="69" spans="1:1" x14ac:dyDescent="0.25">
      <c r="A69" s="1" t="s">
        <v>21</v>
      </c>
    </row>
    <row r="70" spans="1:1" x14ac:dyDescent="0.25">
      <c r="A70" s="1" t="s">
        <v>20</v>
      </c>
    </row>
    <row r="71" spans="1:1" x14ac:dyDescent="0.25">
      <c r="A71" s="1" t="s">
        <v>19</v>
      </c>
    </row>
    <row r="73" spans="1:1" x14ac:dyDescent="0.25">
      <c r="A73" s="14" t="s">
        <v>25</v>
      </c>
    </row>
    <row r="74" spans="1:1" x14ac:dyDescent="0.25">
      <c r="A74" s="1" t="s">
        <v>5</v>
      </c>
    </row>
    <row r="75" spans="1:1" x14ac:dyDescent="0.25">
      <c r="A75" s="1" t="s">
        <v>26</v>
      </c>
    </row>
    <row r="76" spans="1:1" x14ac:dyDescent="0.25">
      <c r="A76" s="1" t="s">
        <v>69</v>
      </c>
    </row>
    <row r="78" spans="1:1" x14ac:dyDescent="0.25">
      <c r="A78" s="2" t="s">
        <v>77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2">
    <tabColor rgb="FF00B050"/>
  </sheetPr>
  <dimension ref="A1:O12"/>
  <sheetViews>
    <sheetView tabSelected="1" zoomScale="130" zoomScaleNormal="130" zoomScaleSheetLayoutView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5" sqref="C5"/>
    </sheetView>
  </sheetViews>
  <sheetFormatPr defaultColWidth="6" defaultRowHeight="18" customHeight="1" x14ac:dyDescent="0.25"/>
  <cols>
    <col min="1" max="1" width="5.5" style="12" bestFit="1" customWidth="1"/>
    <col min="2" max="2" width="10.25" style="12" customWidth="1"/>
    <col min="3" max="4" width="6.375" style="12" customWidth="1"/>
    <col min="5" max="12" width="6" style="12" customWidth="1"/>
    <col min="13" max="16384" width="6" style="12"/>
  </cols>
  <sheetData>
    <row r="1" spans="1:15" ht="18" customHeight="1" x14ac:dyDescent="0.25">
      <c r="A1" s="13" t="s">
        <v>63</v>
      </c>
      <c r="B1" s="10" t="s">
        <v>53</v>
      </c>
      <c r="C1" s="11" t="s">
        <v>1</v>
      </c>
      <c r="D1" s="10">
        <v>2</v>
      </c>
    </row>
    <row r="2" spans="1:15" ht="18" customHeight="1" x14ac:dyDescent="0.25">
      <c r="A2" s="11" t="s">
        <v>6</v>
      </c>
      <c r="B2" s="10">
        <v>8</v>
      </c>
      <c r="C2" s="12" t="s">
        <v>0</v>
      </c>
      <c r="D2" s="10">
        <v>5</v>
      </c>
    </row>
    <row r="3" spans="1:15" s="15" customFormat="1" ht="18" customHeight="1" x14ac:dyDescent="0.25">
      <c r="A3" s="15" t="s">
        <v>80</v>
      </c>
      <c r="B3" s="15" t="s">
        <v>81</v>
      </c>
      <c r="C3" s="16" t="s">
        <v>82</v>
      </c>
      <c r="D3" s="16" t="s">
        <v>83</v>
      </c>
      <c r="E3" s="12" t="s">
        <v>84</v>
      </c>
      <c r="F3" s="12" t="s">
        <v>85</v>
      </c>
      <c r="G3" s="12" t="s">
        <v>86</v>
      </c>
      <c r="H3" s="12" t="s">
        <v>85</v>
      </c>
      <c r="I3" s="12" t="s">
        <v>87</v>
      </c>
      <c r="J3" s="12" t="s">
        <v>85</v>
      </c>
      <c r="K3" s="12" t="s">
        <v>88</v>
      </c>
      <c r="L3" s="12" t="s">
        <v>85</v>
      </c>
      <c r="M3" s="12" t="s">
        <v>89</v>
      </c>
      <c r="N3" s="12" t="s">
        <v>85</v>
      </c>
      <c r="O3" s="12" t="s">
        <v>90</v>
      </c>
    </row>
    <row r="4" spans="1:15" ht="18" customHeight="1" x14ac:dyDescent="0.25">
      <c r="A4" s="12">
        <v>1</v>
      </c>
      <c r="B4" s="12" t="s">
        <v>73</v>
      </c>
      <c r="O4" s="12">
        <f t="shared" ref="O4:O11" si="0">+E4+G4+I4+K4+M4</f>
        <v>0</v>
      </c>
    </row>
    <row r="5" spans="1:15" ht="18" customHeight="1" x14ac:dyDescent="0.25">
      <c r="A5" s="12">
        <v>2</v>
      </c>
      <c r="B5" s="12" t="s">
        <v>64</v>
      </c>
      <c r="O5" s="12">
        <f t="shared" si="0"/>
        <v>0</v>
      </c>
    </row>
    <row r="6" spans="1:15" ht="18" customHeight="1" x14ac:dyDescent="0.25">
      <c r="A6" s="12">
        <v>3</v>
      </c>
      <c r="B6" s="12" t="s">
        <v>71</v>
      </c>
      <c r="O6" s="12">
        <f t="shared" si="0"/>
        <v>0</v>
      </c>
    </row>
    <row r="7" spans="1:15" ht="18" customHeight="1" x14ac:dyDescent="0.25">
      <c r="A7" s="12">
        <v>4</v>
      </c>
      <c r="B7" s="12" t="s">
        <v>66</v>
      </c>
      <c r="O7" s="12">
        <f t="shared" si="0"/>
        <v>0</v>
      </c>
    </row>
    <row r="8" spans="1:15" ht="18" customHeight="1" x14ac:dyDescent="0.25">
      <c r="A8" s="12">
        <v>5</v>
      </c>
      <c r="B8" s="12" t="s">
        <v>65</v>
      </c>
      <c r="O8" s="12">
        <f t="shared" si="0"/>
        <v>0</v>
      </c>
    </row>
    <row r="9" spans="1:15" ht="18" customHeight="1" x14ac:dyDescent="0.25">
      <c r="A9" s="12">
        <v>6</v>
      </c>
      <c r="B9" s="12" t="s">
        <v>74</v>
      </c>
      <c r="O9" s="12">
        <f t="shared" si="0"/>
        <v>0</v>
      </c>
    </row>
    <row r="10" spans="1:15" ht="18" customHeight="1" x14ac:dyDescent="0.25">
      <c r="A10" s="12">
        <v>7</v>
      </c>
      <c r="B10" s="12" t="s">
        <v>67</v>
      </c>
      <c r="O10" s="12">
        <f t="shared" si="0"/>
        <v>0</v>
      </c>
    </row>
    <row r="11" spans="1:15" ht="18" customHeight="1" x14ac:dyDescent="0.25">
      <c r="A11" s="12">
        <v>8</v>
      </c>
      <c r="B11" s="12" t="s">
        <v>72</v>
      </c>
      <c r="O11" s="12">
        <f t="shared" si="0"/>
        <v>0</v>
      </c>
    </row>
    <row r="12" spans="1:15" ht="18" customHeight="1" x14ac:dyDescent="0.25">
      <c r="B12" s="17"/>
    </row>
  </sheetData>
  <sortState xmlns:xlrd2="http://schemas.microsoft.com/office/spreadsheetml/2017/richdata2" ref="A5:O11">
    <sortCondition ref="A4"/>
  </sortState>
  <dataConsolidate link="1"/>
  <phoneticPr fontId="2" type="noConversion"/>
  <conditionalFormatting sqref="A1:XFD1048576">
    <cfRule type="expression" dxfId="0" priority="1">
      <formula>MOD(ROW()+5-3,5)=0</formula>
    </cfRule>
  </conditionalFormatting>
  <dataValidations count="3">
    <dataValidation type="whole" operator="greaterThan" showInputMessage="1" showErrorMessage="1" error="必須是大於０的整數" sqref="B2 D1:D2" xr:uid="{00000000-0002-0000-0100-000000000000}">
      <formula1>0</formula1>
    </dataValidation>
    <dataValidation type="list" allowBlank="1" showInputMessage="1" showErrorMessage="1" sqref="A1" xr:uid="{00000000-0002-0000-0100-000001000000}">
      <formula1>"五子,象棋,圍棋"</formula1>
    </dataValidation>
    <dataValidation type="list" allowBlank="1" showInputMessage="1" showErrorMessage="1" sqref="B1" xr:uid="{00000000-0002-0000-0100-000002000000}">
      <formula1>"瑞士制,單循環,雙循環"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1377" r:id="rId4" name="CheckBox1">
          <controlPr defaultSize="0" autoLine="0" autoPict="0" r:id="rId5">
            <anchor>
              <from>
                <xdr:col>5</xdr:col>
                <xdr:colOff>85725</xdr:colOff>
                <xdr:row>0</xdr:row>
                <xdr:rowOff>95250</xdr:rowOff>
              </from>
              <to>
                <xdr:col>7</xdr:col>
                <xdr:colOff>238125</xdr:colOff>
                <xdr:row>1</xdr:row>
                <xdr:rowOff>133350</xdr:rowOff>
              </to>
            </anchor>
          </controlPr>
        </control>
      </mc:Choice>
      <mc:Fallback>
        <control shapeId="101377" r:id="rId4" name="CheckBox1"/>
      </mc:Fallback>
    </mc:AlternateContent>
    <mc:AlternateContent xmlns:mc="http://schemas.openxmlformats.org/markup-compatibility/2006">
      <mc:Choice Requires="x14">
        <control shapeId="101378" r:id="rId6" name="CheckBox2">
          <controlPr defaultSize="0" autoLine="0" autoPict="0" r:id="rId7">
            <anchor>
              <from>
                <xdr:col>8</xdr:col>
                <xdr:colOff>9525</xdr:colOff>
                <xdr:row>0</xdr:row>
                <xdr:rowOff>95250</xdr:rowOff>
              </from>
              <to>
                <xdr:col>10</xdr:col>
                <xdr:colOff>95250</xdr:colOff>
                <xdr:row>1</xdr:row>
                <xdr:rowOff>133350</xdr:rowOff>
              </to>
            </anchor>
          </controlPr>
        </control>
      </mc:Choice>
      <mc:Fallback>
        <control shapeId="101378" r:id="rId6" name="CheckBox2"/>
      </mc:Fallback>
    </mc:AlternateContent>
  </controls>
</worksheet>
</file>

<file path=customUI/customUI14.xml>�� ^t�X6R �k�� ͑-� ͑-� �bd| �bd| \c� �b\ �b\ Lh!k Lh!k �c�^ d|_� d|_� T!k T!k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說明</vt:lpstr>
      <vt:lpstr>比賽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indar</dc:creator>
  <cp:lastModifiedBy>5871224</cp:lastModifiedBy>
  <cp:lastPrinted>2020-08-29T04:40:32Z</cp:lastPrinted>
  <dcterms:created xsi:type="dcterms:W3CDTF">2015-08-28T08:27:07Z</dcterms:created>
  <dcterms:modified xsi:type="dcterms:W3CDTF">2025-05-06T16:17:20Z</dcterms:modified>
</cp:coreProperties>
</file>